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D\JIS\"/>
    </mc:Choice>
  </mc:AlternateContent>
  <xr:revisionPtr revIDLastSave="0" documentId="8_{99D2C29B-4D65-43BC-863A-5611ED199336}" xr6:coauthVersionLast="36" xr6:coauthVersionMax="36" xr10:uidLastSave="{00000000-0000-0000-0000-000000000000}"/>
  <bookViews>
    <workbookView xWindow="0" yWindow="0" windowWidth="19200" windowHeight="6520" activeTab="4" xr2:uid="{CA551744-C3C0-4243-83D1-51569111C800}"/>
  </bookViews>
  <sheets>
    <sheet name="Sheet2" sheetId="2" r:id="rId1"/>
    <sheet name="Sheet4" sheetId="4" r:id="rId2"/>
    <sheet name="Sheet3" sheetId="3" r:id="rId3"/>
    <sheet name="Sheet5" sheetId="5" r:id="rId4"/>
    <sheet name="Sheet1" sheetId="1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H7" i="1"/>
  <c r="H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  <c r="H3" i="1"/>
  <c r="H2" i="1"/>
</calcChain>
</file>

<file path=xl/sharedStrings.xml><?xml version="1.0" encoding="utf-8"?>
<sst xmlns="http://schemas.openxmlformats.org/spreadsheetml/2006/main" count="130" uniqueCount="43">
  <si>
    <t>Y</t>
  </si>
  <si>
    <t>X</t>
  </si>
  <si>
    <t>INTERCEPT</t>
  </si>
  <si>
    <t>SLOPE</t>
  </si>
  <si>
    <t>Y PRED</t>
  </si>
  <si>
    <t>ERROR</t>
  </si>
  <si>
    <t>MAPE</t>
  </si>
  <si>
    <t>MEAN ABSOLUTE PERCENTAGE ERROR</t>
  </si>
  <si>
    <t>ABS ERROR</t>
  </si>
  <si>
    <t>ABS PERC ERROR</t>
  </si>
  <si>
    <t>ERROR MEAN</t>
  </si>
  <si>
    <t>ERROR SQUARE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</si>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</sst>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Sheet4!$C$25:$C$46</c:f>
              <c:numCache>
                <c:formatCode>General</c:formatCode>
                <c:ptCount val="22"/>
                <c:pt idx="0">
                  <c:v>-16.430581486310302</c:v>
                </c:pt>
                <c:pt idx="1">
                  <c:v>-16.267379400260751</c:v>
                </c:pt>
                <c:pt idx="2">
                  <c:v>-10.47657887874837</c:v>
                </c:pt>
                <c:pt idx="3">
                  <c:v>-7.8949778357236085</c:v>
                </c:pt>
                <c:pt idx="4">
                  <c:v>-1.1041773142111992</c:v>
                </c:pt>
                <c:pt idx="5">
                  <c:v>-4.1501747066492669</c:v>
                </c:pt>
                <c:pt idx="6">
                  <c:v>-3.7777731421121246</c:v>
                </c:pt>
                <c:pt idx="7">
                  <c:v>4.9670299869621886</c:v>
                </c:pt>
                <c:pt idx="8">
                  <c:v>9.3394315514993593</c:v>
                </c:pt>
                <c:pt idx="9">
                  <c:v>7.7118331160365017</c:v>
                </c:pt>
                <c:pt idx="10">
                  <c:v>13.502633637548911</c:v>
                </c:pt>
                <c:pt idx="11">
                  <c:v>8.665835723598434</c:v>
                </c:pt>
                <c:pt idx="12">
                  <c:v>10.665835723598434</c:v>
                </c:pt>
                <c:pt idx="13">
                  <c:v>4.4106388526727471</c:v>
                </c:pt>
                <c:pt idx="14">
                  <c:v>11.573840938722299</c:v>
                </c:pt>
                <c:pt idx="15">
                  <c:v>11.73704302477185</c:v>
                </c:pt>
                <c:pt idx="16">
                  <c:v>16.527843546284231</c:v>
                </c:pt>
                <c:pt idx="17">
                  <c:v>10.272646675358544</c:v>
                </c:pt>
                <c:pt idx="18">
                  <c:v>-6.6561460234680396</c:v>
                </c:pt>
                <c:pt idx="19">
                  <c:v>-5.6561460234680396</c:v>
                </c:pt>
                <c:pt idx="20">
                  <c:v>-16.748140808344175</c:v>
                </c:pt>
                <c:pt idx="21">
                  <c:v>-20.212537157757481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39-41A0-A5ED-CC232706A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728864"/>
        <c:axId val="1272613168"/>
      </c:scatterChart>
      <c:valAx>
        <c:axId val="99272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2613168"/>
        <c:crosses val="autoZero"/>
        <c:crossBetween val="midCat"/>
      </c:valAx>
      <c:valAx>
        <c:axId val="1272613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27288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Sheet1!$A$2:$A$23</c:f>
              <c:numCache>
                <c:formatCode>General</c:formatCode>
                <c:ptCount val="22"/>
                <c:pt idx="0">
                  <c:v>101</c:v>
                </c:pt>
                <c:pt idx="1">
                  <c:v>106</c:v>
                </c:pt>
                <c:pt idx="2">
                  <c:v>113</c:v>
                </c:pt>
                <c:pt idx="3">
                  <c:v>118</c:v>
                </c:pt>
                <c:pt idx="4">
                  <c:v>126</c:v>
                </c:pt>
                <c:pt idx="5">
                  <c:v>129</c:v>
                </c:pt>
                <c:pt idx="6">
                  <c:v>133</c:v>
                </c:pt>
                <c:pt idx="7">
                  <c:v>149</c:v>
                </c:pt>
                <c:pt idx="8">
                  <c:v>157</c:v>
                </c:pt>
                <c:pt idx="9">
                  <c:v>159</c:v>
                </c:pt>
                <c:pt idx="10">
                  <c:v>166</c:v>
                </c:pt>
                <c:pt idx="11">
                  <c:v>166</c:v>
                </c:pt>
                <c:pt idx="12">
                  <c:v>168</c:v>
                </c:pt>
                <c:pt idx="13">
                  <c:v>169</c:v>
                </c:pt>
                <c:pt idx="14">
                  <c:v>181</c:v>
                </c:pt>
                <c:pt idx="15">
                  <c:v>186</c:v>
                </c:pt>
                <c:pt idx="16">
                  <c:v>192</c:v>
                </c:pt>
                <c:pt idx="17">
                  <c:v>193</c:v>
                </c:pt>
                <c:pt idx="18">
                  <c:v>193</c:v>
                </c:pt>
                <c:pt idx="19">
                  <c:v>194</c:v>
                </c:pt>
                <c:pt idx="20">
                  <c:v>195</c:v>
                </c:pt>
                <c:pt idx="2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E3-415E-92C1-B8CDB0A8968F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Sheet4!$B$25:$B$46</c:f>
              <c:numCache>
                <c:formatCode>General</c:formatCode>
                <c:ptCount val="22"/>
                <c:pt idx="0">
                  <c:v>117.4305814863103</c:v>
                </c:pt>
                <c:pt idx="1">
                  <c:v>122.26737940026075</c:v>
                </c:pt>
                <c:pt idx="2">
                  <c:v>123.47657887874837</c:v>
                </c:pt>
                <c:pt idx="3">
                  <c:v>125.89497783572361</c:v>
                </c:pt>
                <c:pt idx="4">
                  <c:v>127.1041773142112</c:v>
                </c:pt>
                <c:pt idx="5">
                  <c:v>133.15017470664927</c:v>
                </c:pt>
                <c:pt idx="6">
                  <c:v>136.77777314211212</c:v>
                </c:pt>
                <c:pt idx="7">
                  <c:v>144.03297001303781</c:v>
                </c:pt>
                <c:pt idx="8">
                  <c:v>147.66056844850064</c:v>
                </c:pt>
                <c:pt idx="9">
                  <c:v>151.2881668839635</c:v>
                </c:pt>
                <c:pt idx="10">
                  <c:v>152.49736636245109</c:v>
                </c:pt>
                <c:pt idx="11">
                  <c:v>157.33416427640157</c:v>
                </c:pt>
                <c:pt idx="12">
                  <c:v>157.33416427640157</c:v>
                </c:pt>
                <c:pt idx="13">
                  <c:v>164.58936114732725</c:v>
                </c:pt>
                <c:pt idx="14">
                  <c:v>169.4261590612777</c:v>
                </c:pt>
                <c:pt idx="15">
                  <c:v>174.26295697522815</c:v>
                </c:pt>
                <c:pt idx="16">
                  <c:v>175.47215645371577</c:v>
                </c:pt>
                <c:pt idx="17">
                  <c:v>182.72735332464146</c:v>
                </c:pt>
                <c:pt idx="18">
                  <c:v>199.65614602346804</c:v>
                </c:pt>
                <c:pt idx="19">
                  <c:v>199.65614602346804</c:v>
                </c:pt>
                <c:pt idx="20">
                  <c:v>211.74814080834417</c:v>
                </c:pt>
                <c:pt idx="21">
                  <c:v>220.21253715775748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E3-415E-92C1-B8CDB0A8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721376"/>
        <c:axId val="1272613600"/>
      </c:scatterChart>
      <c:valAx>
        <c:axId val="99272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2613600"/>
        <c:crosses val="autoZero"/>
        <c:crossBetween val="midCat"/>
      </c:valAx>
      <c:valAx>
        <c:axId val="1272613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27213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Sheet4!$E$25:$E$46</c:f>
              <c:numCache>
                <c:formatCode>General</c:formatCode>
                <c:ptCount val="22"/>
                <c:pt idx="0">
                  <c:v>2.2727272727272729</c:v>
                </c:pt>
                <c:pt idx="1">
                  <c:v>6.8181818181818183</c:v>
                </c:pt>
                <c:pt idx="2">
                  <c:v>11.363636363636365</c:v>
                </c:pt>
                <c:pt idx="3">
                  <c:v>15.90909090909091</c:v>
                </c:pt>
                <c:pt idx="4">
                  <c:v>20.454545454545457</c:v>
                </c:pt>
                <c:pt idx="5">
                  <c:v>25.000000000000004</c:v>
                </c:pt>
                <c:pt idx="6">
                  <c:v>29.545454545454547</c:v>
                </c:pt>
                <c:pt idx="7">
                  <c:v>34.090909090909093</c:v>
                </c:pt>
                <c:pt idx="8">
                  <c:v>38.63636363636364</c:v>
                </c:pt>
                <c:pt idx="9">
                  <c:v>43.181818181818187</c:v>
                </c:pt>
                <c:pt idx="10">
                  <c:v>47.727272727272734</c:v>
                </c:pt>
                <c:pt idx="11">
                  <c:v>52.27272727272728</c:v>
                </c:pt>
                <c:pt idx="12">
                  <c:v>56.81818181818182</c:v>
                </c:pt>
                <c:pt idx="13">
                  <c:v>61.363636363636367</c:v>
                </c:pt>
                <c:pt idx="14">
                  <c:v>65.909090909090907</c:v>
                </c:pt>
                <c:pt idx="15">
                  <c:v>70.454545454545453</c:v>
                </c:pt>
                <c:pt idx="16">
                  <c:v>75</c:v>
                </c:pt>
                <c:pt idx="17">
                  <c:v>79.545454545454547</c:v>
                </c:pt>
                <c:pt idx="18">
                  <c:v>84.090909090909093</c:v>
                </c:pt>
                <c:pt idx="19">
                  <c:v>88.63636363636364</c:v>
                </c:pt>
                <c:pt idx="20">
                  <c:v>93.181818181818187</c:v>
                </c:pt>
                <c:pt idx="21">
                  <c:v>97.727272727272734</c:v>
                </c:pt>
              </c:numCache>
            </c:numRef>
          </c:xVal>
          <c:yVal>
            <c:numRef>
              <c:f>Sheet4!$F$25:$F$46</c:f>
              <c:numCache>
                <c:formatCode>General</c:formatCode>
                <c:ptCount val="22"/>
                <c:pt idx="0">
                  <c:v>101</c:v>
                </c:pt>
                <c:pt idx="1">
                  <c:v>106</c:v>
                </c:pt>
                <c:pt idx="2">
                  <c:v>113</c:v>
                </c:pt>
                <c:pt idx="3">
                  <c:v>118</c:v>
                </c:pt>
                <c:pt idx="4">
                  <c:v>126</c:v>
                </c:pt>
                <c:pt idx="5">
                  <c:v>129</c:v>
                </c:pt>
                <c:pt idx="6">
                  <c:v>133</c:v>
                </c:pt>
                <c:pt idx="7">
                  <c:v>149</c:v>
                </c:pt>
                <c:pt idx="8">
                  <c:v>157</c:v>
                </c:pt>
                <c:pt idx="9">
                  <c:v>159</c:v>
                </c:pt>
                <c:pt idx="10">
                  <c:v>166</c:v>
                </c:pt>
                <c:pt idx="11">
                  <c:v>166</c:v>
                </c:pt>
                <c:pt idx="12">
                  <c:v>168</c:v>
                </c:pt>
                <c:pt idx="13">
                  <c:v>169</c:v>
                </c:pt>
                <c:pt idx="14">
                  <c:v>181</c:v>
                </c:pt>
                <c:pt idx="15">
                  <c:v>186</c:v>
                </c:pt>
                <c:pt idx="16">
                  <c:v>192</c:v>
                </c:pt>
                <c:pt idx="17">
                  <c:v>193</c:v>
                </c:pt>
                <c:pt idx="18">
                  <c:v>193</c:v>
                </c:pt>
                <c:pt idx="19">
                  <c:v>194</c:v>
                </c:pt>
                <c:pt idx="20">
                  <c:v>195</c:v>
                </c:pt>
                <c:pt idx="21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50-4B25-B296-D724402F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716384"/>
        <c:axId val="1272630880"/>
      </c:scatterChart>
      <c:valAx>
        <c:axId val="99271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2630880"/>
        <c:crosses val="autoZero"/>
        <c:crossBetween val="midCat"/>
      </c:valAx>
      <c:valAx>
        <c:axId val="1272630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27163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Sheet5!$C$25:$C$46</c:f>
              <c:numCache>
                <c:formatCode>General</c:formatCode>
                <c:ptCount val="22"/>
                <c:pt idx="0">
                  <c:v>196.22754137004938</c:v>
                </c:pt>
                <c:pt idx="1">
                  <c:v>185.07472061202202</c:v>
                </c:pt>
                <c:pt idx="2">
                  <c:v>28.751681729687476</c:v>
                </c:pt>
                <c:pt idx="3">
                  <c:v>-21.584570912268802</c:v>
                </c:pt>
                <c:pt idx="4">
                  <c:v>-84.150149730559903</c:v>
                </c:pt>
                <c:pt idx="5">
                  <c:v>-75.41596384078322</c:v>
                </c:pt>
                <c:pt idx="6">
                  <c:v>-82.730678022060403</c:v>
                </c:pt>
                <c:pt idx="7">
                  <c:v>-81.055529041601716</c:v>
                </c:pt>
                <c:pt idx="8">
                  <c:v>-22.864268226671157</c:v>
                </c:pt>
                <c:pt idx="9">
                  <c:v>-54.979213921045229</c:v>
                </c:pt>
                <c:pt idx="10">
                  <c:v>66.41541988628164</c:v>
                </c:pt>
                <c:pt idx="11">
                  <c:v>-46.625431806963661</c:v>
                </c:pt>
                <c:pt idx="12">
                  <c:v>-7.962088912569925</c:v>
                </c:pt>
                <c:pt idx="13">
                  <c:v>-110.99307350431127</c:v>
                </c:pt>
                <c:pt idx="14">
                  <c:v>-2.3094598499461654</c:v>
                </c:pt>
                <c:pt idx="15">
                  <c:v>-4.321520291217638</c:v>
                </c:pt>
                <c:pt idx="16">
                  <c:v>129.63580170094292</c:v>
                </c:pt>
                <c:pt idx="17">
                  <c:v>-46.731208870410597</c:v>
                </c:pt>
                <c:pt idx="18">
                  <c:v>-128.31175736264089</c:v>
                </c:pt>
                <c:pt idx="19">
                  <c:v>-140.62404940957697</c:v>
                </c:pt>
                <c:pt idx="20">
                  <c:v>93.343069958322133</c:v>
                </c:pt>
                <c:pt idx="21">
                  <c:v>211.21072844532222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62-45D2-A1ED-D231A386E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18304"/>
        <c:axId val="1379388064"/>
      </c:scatterChart>
      <c:valAx>
        <c:axId val="98481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88064"/>
        <c:crosses val="autoZero"/>
        <c:crossBetween val="midCat"/>
      </c:valAx>
      <c:valAx>
        <c:axId val="137938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4818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Sheet1!$I$2:$I$23</c:f>
              <c:numCache>
                <c:formatCode>0.00</c:formatCode>
                <c:ptCount val="22"/>
                <c:pt idx="0">
                  <c:v>269.96400797828238</c:v>
                </c:pt>
                <c:pt idx="1">
                  <c:v>264.62763255202782</c:v>
                </c:pt>
                <c:pt idx="2">
                  <c:v>109.75870500263646</c:v>
                </c:pt>
                <c:pt idx="3">
                  <c:v>62.330675026566581</c:v>
                </c:pt>
                <c:pt idx="4">
                  <c:v>1.2192075412186574</c:v>
                </c:pt>
                <c:pt idx="5">
                  <c:v>17.223950095711327</c:v>
                </c:pt>
                <c:pt idx="6">
                  <c:v>14.271569913263715</c:v>
                </c:pt>
                <c:pt idx="7">
                  <c:v>24.671386891381598</c:v>
                </c:pt>
                <c:pt idx="8">
                  <c:v>87.22498170514173</c:v>
                </c:pt>
                <c:pt idx="9">
                  <c:v>59.472370009597256</c:v>
                </c:pt>
                <c:pt idx="10">
                  <c:v>182.32111514986732</c:v>
                </c:pt>
                <c:pt idx="11">
                  <c:v>75.096708788394793</c:v>
                </c:pt>
                <c:pt idx="12">
                  <c:v>113.76005168278853</c:v>
                </c:pt>
                <c:pt idx="13">
                  <c:v>19.453735088706367</c:v>
                </c:pt>
                <c:pt idx="14">
                  <c:v>133.95379407484427</c:v>
                </c:pt>
                <c:pt idx="15">
                  <c:v>137.75817896534554</c:v>
                </c:pt>
                <c:pt idx="16">
                  <c:v>273.16961229044932</c:v>
                </c:pt>
                <c:pt idx="17">
                  <c:v>105.52726971675494</c:v>
                </c:pt>
                <c:pt idx="18">
                  <c:v>44.3042798857294</c:v>
                </c:pt>
                <c:pt idx="19">
                  <c:v>31.991987838793317</c:v>
                </c:pt>
                <c:pt idx="20">
                  <c:v>280.5002205361244</c:v>
                </c:pt>
                <c:pt idx="21">
                  <c:v>408.54665835372685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A7-44F4-AFBD-E629AA83BC8A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Sheet1!$B$2:$B$23</c:f>
              <c:numCache>
                <c:formatCode>General</c:formatCode>
                <c:ptCount val="22"/>
                <c:pt idx="0">
                  <c:v>102</c:v>
                </c:pt>
                <c:pt idx="1">
                  <c:v>106</c:v>
                </c:pt>
                <c:pt idx="2">
                  <c:v>107</c:v>
                </c:pt>
                <c:pt idx="3">
                  <c:v>109</c:v>
                </c:pt>
                <c:pt idx="4">
                  <c:v>110</c:v>
                </c:pt>
                <c:pt idx="5">
                  <c:v>115</c:v>
                </c:pt>
                <c:pt idx="6">
                  <c:v>118</c:v>
                </c:pt>
                <c:pt idx="7">
                  <c:v>124</c:v>
                </c:pt>
                <c:pt idx="8">
                  <c:v>127</c:v>
                </c:pt>
                <c:pt idx="9">
                  <c:v>130</c:v>
                </c:pt>
                <c:pt idx="10">
                  <c:v>131</c:v>
                </c:pt>
                <c:pt idx="11">
                  <c:v>135</c:v>
                </c:pt>
                <c:pt idx="12">
                  <c:v>135</c:v>
                </c:pt>
                <c:pt idx="13">
                  <c:v>141</c:v>
                </c:pt>
                <c:pt idx="14">
                  <c:v>145</c:v>
                </c:pt>
                <c:pt idx="15">
                  <c:v>149</c:v>
                </c:pt>
                <c:pt idx="16">
                  <c:v>150</c:v>
                </c:pt>
                <c:pt idx="17">
                  <c:v>156</c:v>
                </c:pt>
                <c:pt idx="18">
                  <c:v>170</c:v>
                </c:pt>
                <c:pt idx="19">
                  <c:v>170</c:v>
                </c:pt>
                <c:pt idx="20">
                  <c:v>180</c:v>
                </c:pt>
                <c:pt idx="21">
                  <c:v>187</c:v>
                </c:pt>
              </c:numCache>
            </c:numRef>
          </c:xVal>
          <c:yVal>
            <c:numRef>
              <c:f>Sheet5!$B$25:$B$46</c:f>
              <c:numCache>
                <c:formatCode>General</c:formatCode>
                <c:ptCount val="22"/>
                <c:pt idx="0">
                  <c:v>73.736466608232988</c:v>
                </c:pt>
                <c:pt idx="1">
                  <c:v>79.552911940005785</c:v>
                </c:pt>
                <c:pt idx="2">
                  <c:v>81.007023272948985</c:v>
                </c:pt>
                <c:pt idx="3">
                  <c:v>83.915245938835383</c:v>
                </c:pt>
                <c:pt idx="4">
                  <c:v>85.369357271778554</c:v>
                </c:pt>
                <c:pt idx="5">
                  <c:v>92.639913936494551</c:v>
                </c:pt>
                <c:pt idx="6">
                  <c:v>97.002247935324121</c:v>
                </c:pt>
                <c:pt idx="7">
                  <c:v>105.72691593298332</c:v>
                </c:pt>
                <c:pt idx="8">
                  <c:v>110.08924993181289</c:v>
                </c:pt>
                <c:pt idx="9">
                  <c:v>114.45158393064249</c:v>
                </c:pt>
                <c:pt idx="10">
                  <c:v>115.90569526358568</c:v>
                </c:pt>
                <c:pt idx="11">
                  <c:v>121.72214059535845</c:v>
                </c:pt>
                <c:pt idx="12">
                  <c:v>121.72214059535845</c:v>
                </c:pt>
                <c:pt idx="13">
                  <c:v>130.44680859301764</c:v>
                </c:pt>
                <c:pt idx="14">
                  <c:v>136.26325392479043</c:v>
                </c:pt>
                <c:pt idx="15">
                  <c:v>142.07969925656317</c:v>
                </c:pt>
                <c:pt idx="16">
                  <c:v>143.5338105895064</c:v>
                </c:pt>
                <c:pt idx="17">
                  <c:v>152.25847858716554</c:v>
                </c:pt>
                <c:pt idx="18">
                  <c:v>172.61603724837028</c:v>
                </c:pt>
                <c:pt idx="19">
                  <c:v>172.61603724837028</c:v>
                </c:pt>
                <c:pt idx="20">
                  <c:v>187.15715057780227</c:v>
                </c:pt>
                <c:pt idx="21">
                  <c:v>197.33592990840464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A7-44F4-AFBD-E629AA83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16640"/>
        <c:axId val="1379374240"/>
      </c:scatterChart>
      <c:valAx>
        <c:axId val="98481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74240"/>
        <c:crosses val="autoZero"/>
        <c:crossBetween val="midCat"/>
      </c:valAx>
      <c:valAx>
        <c:axId val="1379374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848166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Sheet5!$E$25:$E$46</c:f>
              <c:numCache>
                <c:formatCode>General</c:formatCode>
                <c:ptCount val="22"/>
                <c:pt idx="0">
                  <c:v>2.2727272727272729</c:v>
                </c:pt>
                <c:pt idx="1">
                  <c:v>6.8181818181818183</c:v>
                </c:pt>
                <c:pt idx="2">
                  <c:v>11.363636363636365</c:v>
                </c:pt>
                <c:pt idx="3">
                  <c:v>15.90909090909091</c:v>
                </c:pt>
                <c:pt idx="4">
                  <c:v>20.454545454545457</c:v>
                </c:pt>
                <c:pt idx="5">
                  <c:v>25.000000000000004</c:v>
                </c:pt>
                <c:pt idx="6">
                  <c:v>29.545454545454547</c:v>
                </c:pt>
                <c:pt idx="7">
                  <c:v>34.090909090909093</c:v>
                </c:pt>
                <c:pt idx="8">
                  <c:v>38.63636363636364</c:v>
                </c:pt>
                <c:pt idx="9">
                  <c:v>43.181818181818187</c:v>
                </c:pt>
                <c:pt idx="10">
                  <c:v>47.727272727272734</c:v>
                </c:pt>
                <c:pt idx="11">
                  <c:v>52.27272727272728</c:v>
                </c:pt>
                <c:pt idx="12">
                  <c:v>56.81818181818182</c:v>
                </c:pt>
                <c:pt idx="13">
                  <c:v>61.363636363636367</c:v>
                </c:pt>
                <c:pt idx="14">
                  <c:v>65.909090909090907</c:v>
                </c:pt>
                <c:pt idx="15">
                  <c:v>70.454545454545453</c:v>
                </c:pt>
                <c:pt idx="16">
                  <c:v>75</c:v>
                </c:pt>
                <c:pt idx="17">
                  <c:v>79.545454545454547</c:v>
                </c:pt>
                <c:pt idx="18">
                  <c:v>84.090909090909093</c:v>
                </c:pt>
                <c:pt idx="19">
                  <c:v>88.63636363636364</c:v>
                </c:pt>
                <c:pt idx="20">
                  <c:v>93.181818181818187</c:v>
                </c:pt>
                <c:pt idx="21">
                  <c:v>97.727272727272734</c:v>
                </c:pt>
              </c:numCache>
            </c:numRef>
          </c:xVal>
          <c:yVal>
            <c:numRef>
              <c:f>Sheet5!$F$25:$F$46</c:f>
              <c:numCache>
                <c:formatCode>General</c:formatCode>
                <c:ptCount val="22"/>
                <c:pt idx="0">
                  <c:v>1.2192075412186574</c:v>
                </c:pt>
                <c:pt idx="1">
                  <c:v>14.271569913263715</c:v>
                </c:pt>
                <c:pt idx="2">
                  <c:v>17.223950095711327</c:v>
                </c:pt>
                <c:pt idx="3">
                  <c:v>19.453735088706367</c:v>
                </c:pt>
                <c:pt idx="4">
                  <c:v>24.671386891381598</c:v>
                </c:pt>
                <c:pt idx="5">
                  <c:v>31.991987838793317</c:v>
                </c:pt>
                <c:pt idx="6">
                  <c:v>44.3042798857294</c:v>
                </c:pt>
                <c:pt idx="7">
                  <c:v>59.472370009597256</c:v>
                </c:pt>
                <c:pt idx="8">
                  <c:v>62.330675026566581</c:v>
                </c:pt>
                <c:pt idx="9">
                  <c:v>75.096708788394793</c:v>
                </c:pt>
                <c:pt idx="10">
                  <c:v>87.22498170514173</c:v>
                </c:pt>
                <c:pt idx="11">
                  <c:v>105.52726971675494</c:v>
                </c:pt>
                <c:pt idx="12">
                  <c:v>109.75870500263646</c:v>
                </c:pt>
                <c:pt idx="13">
                  <c:v>113.76005168278853</c:v>
                </c:pt>
                <c:pt idx="14">
                  <c:v>133.95379407484427</c:v>
                </c:pt>
                <c:pt idx="15">
                  <c:v>137.75817896534554</c:v>
                </c:pt>
                <c:pt idx="16">
                  <c:v>182.32111514986732</c:v>
                </c:pt>
                <c:pt idx="17">
                  <c:v>264.62763255202782</c:v>
                </c:pt>
                <c:pt idx="18">
                  <c:v>269.96400797828238</c:v>
                </c:pt>
                <c:pt idx="19">
                  <c:v>273.16961229044932</c:v>
                </c:pt>
                <c:pt idx="20">
                  <c:v>280.5002205361244</c:v>
                </c:pt>
                <c:pt idx="21">
                  <c:v>408.54665835372685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5-4FE4-A2A1-D3159D4A7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18304"/>
        <c:axId val="1379374672"/>
      </c:scatterChart>
      <c:valAx>
        <c:axId val="984818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74672"/>
        <c:crosses val="autoZero"/>
        <c:crossBetween val="midCat"/>
      </c:valAx>
      <c:valAx>
        <c:axId val="1379374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481830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D9462-091C-47A8-8C30-62B62DF47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12700</xdr:colOff>
      <xdr:row>0</xdr:row>
      <xdr:rowOff>44450</xdr:rowOff>
    </xdr:from>
    <xdr:to>
      <xdr:col>22</xdr:col>
      <xdr:colOff>12700</xdr:colOff>
      <xdr:row>10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53673-2025-4DEE-BB0F-D46EE9617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171450</xdr:colOff>
      <xdr:row>16</xdr:row>
      <xdr:rowOff>127000</xdr:rowOff>
    </xdr:from>
    <xdr:to>
      <xdr:col>17</xdr:col>
      <xdr:colOff>209550</xdr:colOff>
      <xdr:row>32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FC0974-284D-4776-99F9-641283DF9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0</xdr:row>
      <xdr:rowOff>177800</xdr:rowOff>
    </xdr:from>
    <xdr:to>
      <xdr:col>15</xdr:col>
      <xdr:colOff>247650</xdr:colOff>
      <xdr:row>10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F4A8B-0F0E-4855-A182-84B22D376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2</xdr:row>
      <xdr:rowOff>177800</xdr:rowOff>
    </xdr:from>
    <xdr:to>
      <xdr:col>16</xdr:col>
      <xdr:colOff>247650</xdr:colOff>
      <xdr:row>12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C4658-4E40-49C1-A49E-ED630E8BA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4</xdr:row>
      <xdr:rowOff>177800</xdr:rowOff>
    </xdr:from>
    <xdr:to>
      <xdr:col>17</xdr:col>
      <xdr:colOff>247650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885C83-669C-4001-BF19-6CA22E9B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B34BB-1447-4938-BCBE-5B81D518A703}">
  <dimension ref="A1:I18"/>
  <sheetViews>
    <sheetView workbookViewId="0">
      <selection sqref="A1:XFD1048576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t="s">
        <v>12</v>
      </c>
    </row>
    <row r="2" spans="1:9" ht="15" thickBot="1" x14ac:dyDescent="0.4"/>
    <row r="3" spans="1:9" x14ac:dyDescent="0.35">
      <c r="A3" s="6" t="s">
        <v>13</v>
      </c>
      <c r="B3" s="6"/>
    </row>
    <row r="4" spans="1:9" x14ac:dyDescent="0.35">
      <c r="A4" s="3" t="s">
        <v>14</v>
      </c>
      <c r="B4" s="3">
        <v>0.32672190994842043</v>
      </c>
    </row>
    <row r="5" spans="1:9" x14ac:dyDescent="0.35">
      <c r="A5" s="3" t="s">
        <v>15</v>
      </c>
      <c r="B5" s="3">
        <v>0.10674720644034376</v>
      </c>
    </row>
    <row r="6" spans="1:9" x14ac:dyDescent="0.35">
      <c r="A6" s="3" t="s">
        <v>16</v>
      </c>
      <c r="B6" s="3">
        <v>6.2084566762360939E-2</v>
      </c>
    </row>
    <row r="7" spans="1:9" x14ac:dyDescent="0.35">
      <c r="A7" s="3" t="s">
        <v>17</v>
      </c>
      <c r="B7" s="3">
        <v>107.54582839399765</v>
      </c>
    </row>
    <row r="8" spans="1:9" ht="15" thickBot="1" x14ac:dyDescent="0.4">
      <c r="A8" s="4" t="s">
        <v>18</v>
      </c>
      <c r="B8" s="4">
        <v>22</v>
      </c>
    </row>
    <row r="10" spans="1:9" ht="15" thickBot="1" x14ac:dyDescent="0.4">
      <c r="A10" t="s">
        <v>19</v>
      </c>
    </row>
    <row r="11" spans="1:9" x14ac:dyDescent="0.35">
      <c r="A11" s="5"/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</row>
    <row r="12" spans="1:9" x14ac:dyDescent="0.35">
      <c r="A12" s="3" t="s">
        <v>20</v>
      </c>
      <c r="B12" s="3">
        <v>1</v>
      </c>
      <c r="C12" s="3">
        <v>27643.89720190005</v>
      </c>
      <c r="D12" s="3">
        <v>27643.89720190005</v>
      </c>
      <c r="E12" s="3">
        <v>2.3900783117610165</v>
      </c>
      <c r="F12" s="3">
        <v>0.13778506152663059</v>
      </c>
    </row>
    <row r="13" spans="1:9" x14ac:dyDescent="0.35">
      <c r="A13" s="3" t="s">
        <v>21</v>
      </c>
      <c r="B13" s="3">
        <v>20</v>
      </c>
      <c r="C13" s="3">
        <v>231322.10409902383</v>
      </c>
      <c r="D13" s="3">
        <v>11566.105204951191</v>
      </c>
      <c r="E13" s="3"/>
      <c r="F13" s="3"/>
    </row>
    <row r="14" spans="1:9" ht="15" thickBot="1" x14ac:dyDescent="0.4">
      <c r="A14" s="4" t="s">
        <v>22</v>
      </c>
      <c r="B14" s="4">
        <v>21</v>
      </c>
      <c r="C14" s="4">
        <v>258966.00130092388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29</v>
      </c>
      <c r="C16" s="5" t="s">
        <v>17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</row>
    <row r="17" spans="1:9" x14ac:dyDescent="0.35">
      <c r="A17" s="3" t="s">
        <v>23</v>
      </c>
      <c r="B17" s="3">
        <v>-74.582889351972952</v>
      </c>
      <c r="C17" s="3">
        <v>130.1667934082341</v>
      </c>
      <c r="D17" s="3">
        <v>-0.57297938590269504</v>
      </c>
      <c r="E17" s="3">
        <v>0.57304499355872518</v>
      </c>
      <c r="F17" s="3">
        <v>-346.10606244935661</v>
      </c>
      <c r="G17" s="3">
        <v>196.94028374541074</v>
      </c>
      <c r="H17" s="3">
        <v>-346.10606244935661</v>
      </c>
      <c r="I17" s="3">
        <v>196.94028374541074</v>
      </c>
    </row>
    <row r="18" spans="1:9" ht="15" thickBot="1" x14ac:dyDescent="0.4">
      <c r="A18" s="4" t="s">
        <v>36</v>
      </c>
      <c r="B18" s="4">
        <v>1.4541113329431956</v>
      </c>
      <c r="C18" s="4">
        <v>0.94057102041605856</v>
      </c>
      <c r="D18" s="4">
        <v>1.5459878110001455</v>
      </c>
      <c r="E18" s="4">
        <v>0.13778506152663006</v>
      </c>
      <c r="F18" s="4">
        <v>-0.50788543520225793</v>
      </c>
      <c r="G18" s="4">
        <v>3.4161081010886489</v>
      </c>
      <c r="H18" s="4">
        <v>-0.50788543520225793</v>
      </c>
      <c r="I18" s="4">
        <v>3.4161081010886489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460E-AB4C-4307-AFF6-353A13CEFFDB}">
  <dimension ref="A1:I46"/>
  <sheetViews>
    <sheetView topLeftCell="A3" workbookViewId="0">
      <selection activeCell="F12" sqref="F12"/>
    </sheetView>
  </sheetViews>
  <sheetFormatPr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6" t="s">
        <v>13</v>
      </c>
      <c r="B3" s="6"/>
    </row>
    <row r="4" spans="1:9" x14ac:dyDescent="0.35">
      <c r="A4" s="3" t="s">
        <v>14</v>
      </c>
      <c r="B4" s="3">
        <v>0.93570835375660066</v>
      </c>
    </row>
    <row r="5" spans="1:9" x14ac:dyDescent="0.35">
      <c r="A5" s="3" t="s">
        <v>15</v>
      </c>
      <c r="B5" s="3">
        <v>0.87555012328988768</v>
      </c>
    </row>
    <row r="6" spans="1:9" x14ac:dyDescent="0.35">
      <c r="A6" s="3" t="s">
        <v>16</v>
      </c>
      <c r="B6" s="3">
        <v>0.86932762945438213</v>
      </c>
    </row>
    <row r="7" spans="1:9" x14ac:dyDescent="0.35">
      <c r="A7" s="3" t="s">
        <v>17</v>
      </c>
      <c r="B7" s="3">
        <v>11.655788474160275</v>
      </c>
    </row>
    <row r="8" spans="1:9" ht="15" thickBot="1" x14ac:dyDescent="0.4">
      <c r="A8" s="4" t="s">
        <v>18</v>
      </c>
      <c r="B8" s="4">
        <v>22</v>
      </c>
    </row>
    <row r="10" spans="1:9" ht="15" thickBot="1" x14ac:dyDescent="0.4">
      <c r="A10" t="s">
        <v>19</v>
      </c>
    </row>
    <row r="11" spans="1:9" x14ac:dyDescent="0.35">
      <c r="A11" s="5"/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</row>
    <row r="12" spans="1:9" x14ac:dyDescent="0.35">
      <c r="A12" s="3" t="s">
        <v>20</v>
      </c>
      <c r="B12" s="3">
        <v>1</v>
      </c>
      <c r="C12" s="3">
        <v>19116.124628185382</v>
      </c>
      <c r="D12" s="3">
        <v>19116.124628185382</v>
      </c>
      <c r="E12" s="3">
        <v>140.7072704988455</v>
      </c>
      <c r="F12" s="3">
        <v>1.6673879793385616E-10</v>
      </c>
    </row>
    <row r="13" spans="1:9" x14ac:dyDescent="0.35">
      <c r="A13" s="3" t="s">
        <v>21</v>
      </c>
      <c r="B13" s="3">
        <v>20</v>
      </c>
      <c r="C13" s="3">
        <v>2717.1480990873497</v>
      </c>
      <c r="D13" s="3">
        <v>135.8574049543675</v>
      </c>
      <c r="E13" s="3"/>
      <c r="F13" s="3"/>
    </row>
    <row r="14" spans="1:9" ht="15" thickBot="1" x14ac:dyDescent="0.4">
      <c r="A14" s="4" t="s">
        <v>22</v>
      </c>
      <c r="B14" s="4">
        <v>21</v>
      </c>
      <c r="C14" s="4">
        <v>21833.272727272732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29</v>
      </c>
      <c r="C16" s="5" t="s">
        <v>17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</row>
    <row r="17" spans="1:9" x14ac:dyDescent="0.35">
      <c r="A17" s="3" t="s">
        <v>23</v>
      </c>
      <c r="B17" s="3">
        <v>-5.9077653194263178</v>
      </c>
      <c r="C17" s="3">
        <v>14.107442687296036</v>
      </c>
      <c r="D17" s="3">
        <v>-0.4187694006899173</v>
      </c>
      <c r="E17" s="3">
        <v>0.67984763782271607</v>
      </c>
      <c r="F17" s="3">
        <v>-35.335375099523972</v>
      </c>
      <c r="G17" s="3">
        <v>23.519844460671337</v>
      </c>
      <c r="H17" s="3">
        <v>-35.335375099523972</v>
      </c>
      <c r="I17" s="3">
        <v>23.519844460671337</v>
      </c>
    </row>
    <row r="18" spans="1:9" ht="15" thickBot="1" x14ac:dyDescent="0.4">
      <c r="A18" s="4" t="s">
        <v>36</v>
      </c>
      <c r="B18" s="4">
        <v>1.2091994784876139</v>
      </c>
      <c r="C18" s="4">
        <v>0.10193883875003501</v>
      </c>
      <c r="D18" s="4">
        <v>11.862009547241371</v>
      </c>
      <c r="E18" s="4">
        <v>1.6673879793385678E-10</v>
      </c>
      <c r="F18" s="4">
        <v>0.99655878699831169</v>
      </c>
      <c r="G18" s="4">
        <v>1.4218401699769161</v>
      </c>
      <c r="H18" s="4">
        <v>0.99655878699831169</v>
      </c>
      <c r="I18" s="4">
        <v>1.4218401699769161</v>
      </c>
    </row>
    <row r="22" spans="1:9" x14ac:dyDescent="0.35">
      <c r="A22" t="s">
        <v>37</v>
      </c>
      <c r="E22" t="s">
        <v>41</v>
      </c>
    </row>
    <row r="23" spans="1:9" ht="15" thickBot="1" x14ac:dyDescent="0.4"/>
    <row r="24" spans="1:9" x14ac:dyDescent="0.35">
      <c r="A24" s="5" t="s">
        <v>38</v>
      </c>
      <c r="B24" s="5" t="s">
        <v>39</v>
      </c>
      <c r="C24" s="5" t="s">
        <v>40</v>
      </c>
      <c r="E24" s="5" t="s">
        <v>42</v>
      </c>
      <c r="F24" s="5" t="s">
        <v>0</v>
      </c>
    </row>
    <row r="25" spans="1:9" x14ac:dyDescent="0.35">
      <c r="A25" s="3">
        <v>1</v>
      </c>
      <c r="B25" s="3">
        <v>117.4305814863103</v>
      </c>
      <c r="C25" s="3">
        <v>-16.430581486310302</v>
      </c>
      <c r="E25" s="3">
        <v>2.2727272727272729</v>
      </c>
      <c r="F25" s="3">
        <v>101</v>
      </c>
    </row>
    <row r="26" spans="1:9" x14ac:dyDescent="0.35">
      <c r="A26" s="3">
        <v>2</v>
      </c>
      <c r="B26" s="3">
        <v>122.26737940026075</v>
      </c>
      <c r="C26" s="3">
        <v>-16.267379400260751</v>
      </c>
      <c r="E26" s="3">
        <v>6.8181818181818183</v>
      </c>
      <c r="F26" s="3">
        <v>106</v>
      </c>
    </row>
    <row r="27" spans="1:9" x14ac:dyDescent="0.35">
      <c r="A27" s="3">
        <v>3</v>
      </c>
      <c r="B27" s="3">
        <v>123.47657887874837</v>
      </c>
      <c r="C27" s="3">
        <v>-10.47657887874837</v>
      </c>
      <c r="E27" s="3">
        <v>11.363636363636365</v>
      </c>
      <c r="F27" s="3">
        <v>113</v>
      </c>
    </row>
    <row r="28" spans="1:9" x14ac:dyDescent="0.35">
      <c r="A28" s="3">
        <v>4</v>
      </c>
      <c r="B28" s="3">
        <v>125.89497783572361</v>
      </c>
      <c r="C28" s="3">
        <v>-7.8949778357236085</v>
      </c>
      <c r="E28" s="3">
        <v>15.90909090909091</v>
      </c>
      <c r="F28" s="3">
        <v>118</v>
      </c>
    </row>
    <row r="29" spans="1:9" x14ac:dyDescent="0.35">
      <c r="A29" s="3">
        <v>5</v>
      </c>
      <c r="B29" s="3">
        <v>127.1041773142112</v>
      </c>
      <c r="C29" s="3">
        <v>-1.1041773142111992</v>
      </c>
      <c r="E29" s="3">
        <v>20.454545454545457</v>
      </c>
      <c r="F29" s="3">
        <v>126</v>
      </c>
    </row>
    <row r="30" spans="1:9" x14ac:dyDescent="0.35">
      <c r="A30" s="3">
        <v>6</v>
      </c>
      <c r="B30" s="3">
        <v>133.15017470664927</v>
      </c>
      <c r="C30" s="3">
        <v>-4.1501747066492669</v>
      </c>
      <c r="E30" s="3">
        <v>25.000000000000004</v>
      </c>
      <c r="F30" s="3">
        <v>129</v>
      </c>
    </row>
    <row r="31" spans="1:9" x14ac:dyDescent="0.35">
      <c r="A31" s="3">
        <v>7</v>
      </c>
      <c r="B31" s="3">
        <v>136.77777314211212</v>
      </c>
      <c r="C31" s="3">
        <v>-3.7777731421121246</v>
      </c>
      <c r="E31" s="3">
        <v>29.545454545454547</v>
      </c>
      <c r="F31" s="3">
        <v>133</v>
      </c>
    </row>
    <row r="32" spans="1:9" x14ac:dyDescent="0.35">
      <c r="A32" s="3">
        <v>8</v>
      </c>
      <c r="B32" s="3">
        <v>144.03297001303781</v>
      </c>
      <c r="C32" s="3">
        <v>4.9670299869621886</v>
      </c>
      <c r="E32" s="3">
        <v>34.090909090909093</v>
      </c>
      <c r="F32" s="3">
        <v>149</v>
      </c>
    </row>
    <row r="33" spans="1:6" x14ac:dyDescent="0.35">
      <c r="A33" s="3">
        <v>9</v>
      </c>
      <c r="B33" s="3">
        <v>147.66056844850064</v>
      </c>
      <c r="C33" s="3">
        <v>9.3394315514993593</v>
      </c>
      <c r="E33" s="3">
        <v>38.63636363636364</v>
      </c>
      <c r="F33" s="3">
        <v>157</v>
      </c>
    </row>
    <row r="34" spans="1:6" x14ac:dyDescent="0.35">
      <c r="A34" s="3">
        <v>10</v>
      </c>
      <c r="B34" s="3">
        <v>151.2881668839635</v>
      </c>
      <c r="C34" s="3">
        <v>7.7118331160365017</v>
      </c>
      <c r="E34" s="3">
        <v>43.181818181818187</v>
      </c>
      <c r="F34" s="3">
        <v>159</v>
      </c>
    </row>
    <row r="35" spans="1:6" x14ac:dyDescent="0.35">
      <c r="A35" s="3">
        <v>11</v>
      </c>
      <c r="B35" s="3">
        <v>152.49736636245109</v>
      </c>
      <c r="C35" s="3">
        <v>13.502633637548911</v>
      </c>
      <c r="E35" s="3">
        <v>47.727272727272734</v>
      </c>
      <c r="F35" s="3">
        <v>166</v>
      </c>
    </row>
    <row r="36" spans="1:6" x14ac:dyDescent="0.35">
      <c r="A36" s="3">
        <v>12</v>
      </c>
      <c r="B36" s="3">
        <v>157.33416427640157</v>
      </c>
      <c r="C36" s="3">
        <v>8.665835723598434</v>
      </c>
      <c r="E36" s="3">
        <v>52.27272727272728</v>
      </c>
      <c r="F36" s="3">
        <v>166</v>
      </c>
    </row>
    <row r="37" spans="1:6" x14ac:dyDescent="0.35">
      <c r="A37" s="3">
        <v>13</v>
      </c>
      <c r="B37" s="3">
        <v>157.33416427640157</v>
      </c>
      <c r="C37" s="3">
        <v>10.665835723598434</v>
      </c>
      <c r="E37" s="3">
        <v>56.81818181818182</v>
      </c>
      <c r="F37" s="3">
        <v>168</v>
      </c>
    </row>
    <row r="38" spans="1:6" x14ac:dyDescent="0.35">
      <c r="A38" s="3">
        <v>14</v>
      </c>
      <c r="B38" s="3">
        <v>164.58936114732725</v>
      </c>
      <c r="C38" s="3">
        <v>4.4106388526727471</v>
      </c>
      <c r="E38" s="3">
        <v>61.363636363636367</v>
      </c>
      <c r="F38" s="3">
        <v>169</v>
      </c>
    </row>
    <row r="39" spans="1:6" x14ac:dyDescent="0.35">
      <c r="A39" s="3">
        <v>15</v>
      </c>
      <c r="B39" s="3">
        <v>169.4261590612777</v>
      </c>
      <c r="C39" s="3">
        <v>11.573840938722299</v>
      </c>
      <c r="E39" s="3">
        <v>65.909090909090907</v>
      </c>
      <c r="F39" s="3">
        <v>181</v>
      </c>
    </row>
    <row r="40" spans="1:6" x14ac:dyDescent="0.35">
      <c r="A40" s="3">
        <v>16</v>
      </c>
      <c r="B40" s="3">
        <v>174.26295697522815</v>
      </c>
      <c r="C40" s="3">
        <v>11.73704302477185</v>
      </c>
      <c r="E40" s="3">
        <v>70.454545454545453</v>
      </c>
      <c r="F40" s="3">
        <v>186</v>
      </c>
    </row>
    <row r="41" spans="1:6" x14ac:dyDescent="0.35">
      <c r="A41" s="3">
        <v>17</v>
      </c>
      <c r="B41" s="3">
        <v>175.47215645371577</v>
      </c>
      <c r="C41" s="3">
        <v>16.527843546284231</v>
      </c>
      <c r="E41" s="3">
        <v>75</v>
      </c>
      <c r="F41" s="3">
        <v>192</v>
      </c>
    </row>
    <row r="42" spans="1:6" x14ac:dyDescent="0.35">
      <c r="A42" s="3">
        <v>18</v>
      </c>
      <c r="B42" s="3">
        <v>182.72735332464146</v>
      </c>
      <c r="C42" s="3">
        <v>10.272646675358544</v>
      </c>
      <c r="E42" s="3">
        <v>79.545454545454547</v>
      </c>
      <c r="F42" s="3">
        <v>193</v>
      </c>
    </row>
    <row r="43" spans="1:6" x14ac:dyDescent="0.35">
      <c r="A43" s="3">
        <v>19</v>
      </c>
      <c r="B43" s="3">
        <v>199.65614602346804</v>
      </c>
      <c r="C43" s="3">
        <v>-6.6561460234680396</v>
      </c>
      <c r="E43" s="3">
        <v>84.090909090909093</v>
      </c>
      <c r="F43" s="3">
        <v>193</v>
      </c>
    </row>
    <row r="44" spans="1:6" x14ac:dyDescent="0.35">
      <c r="A44" s="3">
        <v>20</v>
      </c>
      <c r="B44" s="3">
        <v>199.65614602346804</v>
      </c>
      <c r="C44" s="3">
        <v>-5.6561460234680396</v>
      </c>
      <c r="E44" s="3">
        <v>88.63636363636364</v>
      </c>
      <c r="F44" s="3">
        <v>194</v>
      </c>
    </row>
    <row r="45" spans="1:6" x14ac:dyDescent="0.35">
      <c r="A45" s="3">
        <v>21</v>
      </c>
      <c r="B45" s="3">
        <v>211.74814080834417</v>
      </c>
      <c r="C45" s="3">
        <v>-16.748140808344175</v>
      </c>
      <c r="E45" s="3">
        <v>93.181818181818187</v>
      </c>
      <c r="F45" s="3">
        <v>195</v>
      </c>
    </row>
    <row r="46" spans="1:6" ht="15" thickBot="1" x14ac:dyDescent="0.4">
      <c r="A46" s="4">
        <v>22</v>
      </c>
      <c r="B46" s="4">
        <v>220.21253715775748</v>
      </c>
      <c r="C46" s="4">
        <v>-20.212537157757481</v>
      </c>
      <c r="E46" s="4">
        <v>97.727272727272734</v>
      </c>
      <c r="F46" s="4">
        <v>200</v>
      </c>
    </row>
  </sheetData>
  <sortState ref="F25:F46">
    <sortCondition ref="F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B288-3C43-4EF2-BD62-4B9418F4EA66}">
  <dimension ref="A1:I18"/>
  <sheetViews>
    <sheetView topLeftCell="A2" workbookViewId="0">
      <selection activeCell="E18" sqref="E18"/>
    </sheetView>
  </sheetViews>
  <sheetFormatPr defaultRowHeight="14.5" x14ac:dyDescent="0.35"/>
  <cols>
    <col min="1" max="1" width="17.2695312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9" width="12" bestFit="1" customWidth="1"/>
  </cols>
  <sheetData>
    <row r="1" spans="1:9" x14ac:dyDescent="0.35">
      <c r="A1" t="s">
        <v>12</v>
      </c>
    </row>
    <row r="2" spans="1:9" ht="15" thickBot="1" x14ac:dyDescent="0.4"/>
    <row r="3" spans="1:9" x14ac:dyDescent="0.35">
      <c r="A3" s="6" t="s">
        <v>13</v>
      </c>
      <c r="B3" s="6"/>
    </row>
    <row r="4" spans="1:9" x14ac:dyDescent="0.35">
      <c r="A4" s="3" t="s">
        <v>14</v>
      </c>
      <c r="B4" s="3">
        <v>0.93570835375660066</v>
      </c>
    </row>
    <row r="5" spans="1:9" x14ac:dyDescent="0.35">
      <c r="A5" s="3" t="s">
        <v>15</v>
      </c>
      <c r="B5" s="3">
        <v>0.87555012328988768</v>
      </c>
    </row>
    <row r="6" spans="1:9" x14ac:dyDescent="0.35">
      <c r="A6" s="3" t="s">
        <v>16</v>
      </c>
      <c r="B6" s="3">
        <v>0.86932762945438213</v>
      </c>
    </row>
    <row r="7" spans="1:9" x14ac:dyDescent="0.35">
      <c r="A7" s="3" t="s">
        <v>17</v>
      </c>
      <c r="B7" s="3">
        <v>11.655788474160275</v>
      </c>
    </row>
    <row r="8" spans="1:9" ht="15" thickBot="1" x14ac:dyDescent="0.4">
      <c r="A8" s="4" t="s">
        <v>18</v>
      </c>
      <c r="B8" s="4">
        <v>22</v>
      </c>
    </row>
    <row r="10" spans="1:9" ht="15" thickBot="1" x14ac:dyDescent="0.4">
      <c r="A10" t="s">
        <v>19</v>
      </c>
    </row>
    <row r="11" spans="1:9" x14ac:dyDescent="0.35">
      <c r="A11" s="5"/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</row>
    <row r="12" spans="1:9" x14ac:dyDescent="0.35">
      <c r="A12" s="3" t="s">
        <v>20</v>
      </c>
      <c r="B12" s="3">
        <v>1</v>
      </c>
      <c r="C12" s="3">
        <v>19116.124628185382</v>
      </c>
      <c r="D12" s="3">
        <v>19116.124628185382</v>
      </c>
      <c r="E12" s="3">
        <v>140.7072704988455</v>
      </c>
      <c r="F12" s="7">
        <v>1.6673879793385616E-10</v>
      </c>
    </row>
    <row r="13" spans="1:9" x14ac:dyDescent="0.35">
      <c r="A13" s="3" t="s">
        <v>21</v>
      </c>
      <c r="B13" s="3">
        <v>20</v>
      </c>
      <c r="C13" s="3">
        <v>2717.1480990873497</v>
      </c>
      <c r="D13" s="3">
        <v>135.8574049543675</v>
      </c>
      <c r="E13" s="3"/>
      <c r="F13" s="3"/>
    </row>
    <row r="14" spans="1:9" ht="15" thickBot="1" x14ac:dyDescent="0.4">
      <c r="A14" s="4" t="s">
        <v>22</v>
      </c>
      <c r="B14" s="4">
        <v>21</v>
      </c>
      <c r="C14" s="4">
        <v>21833.272727272732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29</v>
      </c>
      <c r="C16" s="5" t="s">
        <v>17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</row>
    <row r="17" spans="1:9" x14ac:dyDescent="0.35">
      <c r="A17" s="3" t="s">
        <v>23</v>
      </c>
      <c r="B17" s="3">
        <v>-5.9077653194263178</v>
      </c>
      <c r="C17" s="3">
        <v>14.107442687296036</v>
      </c>
      <c r="D17" s="3">
        <v>-0.4187694006899173</v>
      </c>
      <c r="E17" s="7">
        <v>0.67984763782271607</v>
      </c>
      <c r="F17" s="7">
        <v>-35.335375099523972</v>
      </c>
      <c r="G17" s="7">
        <v>23.519844460671337</v>
      </c>
      <c r="H17" s="7">
        <v>-35.335375099523972</v>
      </c>
      <c r="I17" s="7">
        <v>23.519844460671337</v>
      </c>
    </row>
    <row r="18" spans="1:9" ht="15" thickBot="1" x14ac:dyDescent="0.4">
      <c r="A18" s="4" t="s">
        <v>36</v>
      </c>
      <c r="B18" s="4">
        <v>1.2091994784876139</v>
      </c>
      <c r="C18" s="4">
        <v>0.10193883875003501</v>
      </c>
      <c r="D18" s="4">
        <v>11.862009547241371</v>
      </c>
      <c r="E18" s="7">
        <v>1.6673879793385678E-10</v>
      </c>
      <c r="F18" s="7">
        <v>0.99655878699831169</v>
      </c>
      <c r="G18" s="7">
        <v>1.4218401699769161</v>
      </c>
      <c r="H18" s="7">
        <v>0.99655878699831169</v>
      </c>
      <c r="I18" s="7">
        <v>1.4218401699769161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001F-D3CC-407F-87CF-F37E1FAAAFD3}">
  <dimension ref="A1:I46"/>
  <sheetViews>
    <sheetView workbookViewId="0">
      <selection activeCell="F12" sqref="F12"/>
    </sheetView>
  </sheetViews>
  <sheetFormatPr defaultRowHeight="14.5" x14ac:dyDescent="0.35"/>
  <sheetData>
    <row r="1" spans="1:9" x14ac:dyDescent="0.35">
      <c r="A1" t="s">
        <v>12</v>
      </c>
    </row>
    <row r="2" spans="1:9" ht="15" thickBot="1" x14ac:dyDescent="0.4"/>
    <row r="3" spans="1:9" x14ac:dyDescent="0.35">
      <c r="A3" s="6" t="s">
        <v>13</v>
      </c>
      <c r="B3" s="6"/>
    </row>
    <row r="4" spans="1:9" x14ac:dyDescent="0.35">
      <c r="A4" s="3" t="s">
        <v>14</v>
      </c>
      <c r="B4" s="3">
        <v>0.32672190994842043</v>
      </c>
    </row>
    <row r="5" spans="1:9" x14ac:dyDescent="0.35">
      <c r="A5" s="3" t="s">
        <v>15</v>
      </c>
      <c r="B5" s="3">
        <v>0.10674720644034376</v>
      </c>
    </row>
    <row r="6" spans="1:9" x14ac:dyDescent="0.35">
      <c r="A6" s="3" t="s">
        <v>16</v>
      </c>
      <c r="B6" s="3">
        <v>6.2084566762360939E-2</v>
      </c>
    </row>
    <row r="7" spans="1:9" x14ac:dyDescent="0.35">
      <c r="A7" s="3" t="s">
        <v>17</v>
      </c>
      <c r="B7" s="3">
        <v>107.54582839399765</v>
      </c>
    </row>
    <row r="8" spans="1:9" ht="15" thickBot="1" x14ac:dyDescent="0.4">
      <c r="A8" s="4" t="s">
        <v>18</v>
      </c>
      <c r="B8" s="4">
        <v>22</v>
      </c>
    </row>
    <row r="10" spans="1:9" ht="15" thickBot="1" x14ac:dyDescent="0.4">
      <c r="A10" t="s">
        <v>19</v>
      </c>
    </row>
    <row r="11" spans="1:9" x14ac:dyDescent="0.35">
      <c r="A11" s="5"/>
      <c r="B11" s="5" t="s">
        <v>24</v>
      </c>
      <c r="C11" s="5" t="s">
        <v>25</v>
      </c>
      <c r="D11" s="5" t="s">
        <v>26</v>
      </c>
      <c r="E11" s="5" t="s">
        <v>27</v>
      </c>
      <c r="F11" s="5" t="s">
        <v>28</v>
      </c>
    </row>
    <row r="12" spans="1:9" x14ac:dyDescent="0.35">
      <c r="A12" s="3" t="s">
        <v>20</v>
      </c>
      <c r="B12" s="3">
        <v>1</v>
      </c>
      <c r="C12" s="3">
        <v>27643.89720190005</v>
      </c>
      <c r="D12" s="3">
        <v>27643.89720190005</v>
      </c>
      <c r="E12" s="3">
        <v>2.3900783117610165</v>
      </c>
      <c r="F12" s="3">
        <v>0.13778506152663059</v>
      </c>
    </row>
    <row r="13" spans="1:9" x14ac:dyDescent="0.35">
      <c r="A13" s="3" t="s">
        <v>21</v>
      </c>
      <c r="B13" s="3">
        <v>20</v>
      </c>
      <c r="C13" s="3">
        <v>231322.10409902383</v>
      </c>
      <c r="D13" s="3">
        <v>11566.105204951191</v>
      </c>
      <c r="E13" s="3"/>
      <c r="F13" s="3"/>
    </row>
    <row r="14" spans="1:9" ht="15" thickBot="1" x14ac:dyDescent="0.4">
      <c r="A14" s="4" t="s">
        <v>22</v>
      </c>
      <c r="B14" s="4">
        <v>21</v>
      </c>
      <c r="C14" s="4">
        <v>258966.00130092388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29</v>
      </c>
      <c r="C16" s="5" t="s">
        <v>17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</row>
    <row r="17" spans="1:9" x14ac:dyDescent="0.35">
      <c r="A17" s="3" t="s">
        <v>23</v>
      </c>
      <c r="B17" s="3">
        <v>-74.582889351972952</v>
      </c>
      <c r="C17" s="3">
        <v>130.1667934082341</v>
      </c>
      <c r="D17" s="3">
        <v>-0.57297938590269504</v>
      </c>
      <c r="E17" s="3">
        <v>0.57304499355872518</v>
      </c>
      <c r="F17" s="3">
        <v>-346.10606244935661</v>
      </c>
      <c r="G17" s="3">
        <v>196.94028374541074</v>
      </c>
      <c r="H17" s="3">
        <v>-346.10606244935661</v>
      </c>
      <c r="I17" s="3">
        <v>196.94028374541074</v>
      </c>
    </row>
    <row r="18" spans="1:9" ht="15" thickBot="1" x14ac:dyDescent="0.4">
      <c r="A18" s="4" t="s">
        <v>36</v>
      </c>
      <c r="B18" s="4">
        <v>1.4541113329431956</v>
      </c>
      <c r="C18" s="4">
        <v>0.94057102041605856</v>
      </c>
      <c r="D18" s="4">
        <v>1.5459878110001455</v>
      </c>
      <c r="E18" s="4">
        <v>0.13778506152663006</v>
      </c>
      <c r="F18" s="4">
        <v>-0.50788543520225793</v>
      </c>
      <c r="G18" s="4">
        <v>3.4161081010886489</v>
      </c>
      <c r="H18" s="4">
        <v>-0.50788543520225793</v>
      </c>
      <c r="I18" s="4">
        <v>3.4161081010886489</v>
      </c>
    </row>
    <row r="22" spans="1:9" x14ac:dyDescent="0.35">
      <c r="A22" t="s">
        <v>37</v>
      </c>
      <c r="E22" t="s">
        <v>41</v>
      </c>
    </row>
    <row r="23" spans="1:9" ht="15" thickBot="1" x14ac:dyDescent="0.4"/>
    <row r="24" spans="1:9" x14ac:dyDescent="0.35">
      <c r="A24" s="5" t="s">
        <v>38</v>
      </c>
      <c r="B24" s="5" t="s">
        <v>39</v>
      </c>
      <c r="C24" s="5" t="s">
        <v>40</v>
      </c>
      <c r="E24" s="5" t="s">
        <v>42</v>
      </c>
      <c r="F24" s="5" t="s">
        <v>0</v>
      </c>
    </row>
    <row r="25" spans="1:9" x14ac:dyDescent="0.35">
      <c r="A25" s="3">
        <v>1</v>
      </c>
      <c r="B25" s="3">
        <v>73.736466608232988</v>
      </c>
      <c r="C25" s="3">
        <v>196.22754137004938</v>
      </c>
      <c r="E25" s="3">
        <v>2.2727272727272729</v>
      </c>
      <c r="F25" s="3">
        <v>1.2192075412186574</v>
      </c>
    </row>
    <row r="26" spans="1:9" x14ac:dyDescent="0.35">
      <c r="A26" s="3">
        <v>2</v>
      </c>
      <c r="B26" s="3">
        <v>79.552911940005785</v>
      </c>
      <c r="C26" s="3">
        <v>185.07472061202202</v>
      </c>
      <c r="E26" s="3">
        <v>6.8181818181818183</v>
      </c>
      <c r="F26" s="3">
        <v>14.271569913263715</v>
      </c>
    </row>
    <row r="27" spans="1:9" x14ac:dyDescent="0.35">
      <c r="A27" s="3">
        <v>3</v>
      </c>
      <c r="B27" s="3">
        <v>81.007023272948985</v>
      </c>
      <c r="C27" s="3">
        <v>28.751681729687476</v>
      </c>
      <c r="E27" s="3">
        <v>11.363636363636365</v>
      </c>
      <c r="F27" s="3">
        <v>17.223950095711327</v>
      </c>
    </row>
    <row r="28" spans="1:9" x14ac:dyDescent="0.35">
      <c r="A28" s="3">
        <v>4</v>
      </c>
      <c r="B28" s="3">
        <v>83.915245938835383</v>
      </c>
      <c r="C28" s="3">
        <v>-21.584570912268802</v>
      </c>
      <c r="E28" s="3">
        <v>15.90909090909091</v>
      </c>
      <c r="F28" s="3">
        <v>19.453735088706367</v>
      </c>
    </row>
    <row r="29" spans="1:9" x14ac:dyDescent="0.35">
      <c r="A29" s="3">
        <v>5</v>
      </c>
      <c r="B29" s="3">
        <v>85.369357271778554</v>
      </c>
      <c r="C29" s="3">
        <v>-84.150149730559903</v>
      </c>
      <c r="E29" s="3">
        <v>20.454545454545457</v>
      </c>
      <c r="F29" s="3">
        <v>24.671386891381598</v>
      </c>
    </row>
    <row r="30" spans="1:9" x14ac:dyDescent="0.35">
      <c r="A30" s="3">
        <v>6</v>
      </c>
      <c r="B30" s="3">
        <v>92.639913936494551</v>
      </c>
      <c r="C30" s="3">
        <v>-75.41596384078322</v>
      </c>
      <c r="E30" s="3">
        <v>25.000000000000004</v>
      </c>
      <c r="F30" s="3">
        <v>31.991987838793317</v>
      </c>
    </row>
    <row r="31" spans="1:9" x14ac:dyDescent="0.35">
      <c r="A31" s="3">
        <v>7</v>
      </c>
      <c r="B31" s="3">
        <v>97.002247935324121</v>
      </c>
      <c r="C31" s="3">
        <v>-82.730678022060403</v>
      </c>
      <c r="E31" s="3">
        <v>29.545454545454547</v>
      </c>
      <c r="F31" s="3">
        <v>44.3042798857294</v>
      </c>
    </row>
    <row r="32" spans="1:9" x14ac:dyDescent="0.35">
      <c r="A32" s="3">
        <v>8</v>
      </c>
      <c r="B32" s="3">
        <v>105.72691593298332</v>
      </c>
      <c r="C32" s="3">
        <v>-81.055529041601716</v>
      </c>
      <c r="E32" s="3">
        <v>34.090909090909093</v>
      </c>
      <c r="F32" s="3">
        <v>59.472370009597256</v>
      </c>
    </row>
    <row r="33" spans="1:6" x14ac:dyDescent="0.35">
      <c r="A33" s="3">
        <v>9</v>
      </c>
      <c r="B33" s="3">
        <v>110.08924993181289</v>
      </c>
      <c r="C33" s="3">
        <v>-22.864268226671157</v>
      </c>
      <c r="E33" s="3">
        <v>38.63636363636364</v>
      </c>
      <c r="F33" s="3">
        <v>62.330675026566581</v>
      </c>
    </row>
    <row r="34" spans="1:6" x14ac:dyDescent="0.35">
      <c r="A34" s="3">
        <v>10</v>
      </c>
      <c r="B34" s="3">
        <v>114.45158393064249</v>
      </c>
      <c r="C34" s="3">
        <v>-54.979213921045229</v>
      </c>
      <c r="E34" s="3">
        <v>43.181818181818187</v>
      </c>
      <c r="F34" s="3">
        <v>75.096708788394793</v>
      </c>
    </row>
    <row r="35" spans="1:6" x14ac:dyDescent="0.35">
      <c r="A35" s="3">
        <v>11</v>
      </c>
      <c r="B35" s="3">
        <v>115.90569526358568</v>
      </c>
      <c r="C35" s="3">
        <v>66.41541988628164</v>
      </c>
      <c r="E35" s="3">
        <v>47.727272727272734</v>
      </c>
      <c r="F35" s="3">
        <v>87.22498170514173</v>
      </c>
    </row>
    <row r="36" spans="1:6" x14ac:dyDescent="0.35">
      <c r="A36" s="3">
        <v>12</v>
      </c>
      <c r="B36" s="3">
        <v>121.72214059535845</v>
      </c>
      <c r="C36" s="3">
        <v>-46.625431806963661</v>
      </c>
      <c r="E36" s="3">
        <v>52.27272727272728</v>
      </c>
      <c r="F36" s="3">
        <v>105.52726971675494</v>
      </c>
    </row>
    <row r="37" spans="1:6" x14ac:dyDescent="0.35">
      <c r="A37" s="3">
        <v>13</v>
      </c>
      <c r="B37" s="3">
        <v>121.72214059535845</v>
      </c>
      <c r="C37" s="3">
        <v>-7.962088912569925</v>
      </c>
      <c r="E37" s="3">
        <v>56.81818181818182</v>
      </c>
      <c r="F37" s="3">
        <v>109.75870500263646</v>
      </c>
    </row>
    <row r="38" spans="1:6" x14ac:dyDescent="0.35">
      <c r="A38" s="3">
        <v>14</v>
      </c>
      <c r="B38" s="3">
        <v>130.44680859301764</v>
      </c>
      <c r="C38" s="3">
        <v>-110.99307350431127</v>
      </c>
      <c r="E38" s="3">
        <v>61.363636363636367</v>
      </c>
      <c r="F38" s="3">
        <v>113.76005168278853</v>
      </c>
    </row>
    <row r="39" spans="1:6" x14ac:dyDescent="0.35">
      <c r="A39" s="3">
        <v>15</v>
      </c>
      <c r="B39" s="3">
        <v>136.26325392479043</v>
      </c>
      <c r="C39" s="3">
        <v>-2.3094598499461654</v>
      </c>
      <c r="E39" s="3">
        <v>65.909090909090907</v>
      </c>
      <c r="F39" s="3">
        <v>133.95379407484427</v>
      </c>
    </row>
    <row r="40" spans="1:6" x14ac:dyDescent="0.35">
      <c r="A40" s="3">
        <v>16</v>
      </c>
      <c r="B40" s="3">
        <v>142.07969925656317</v>
      </c>
      <c r="C40" s="3">
        <v>-4.321520291217638</v>
      </c>
      <c r="E40" s="3">
        <v>70.454545454545453</v>
      </c>
      <c r="F40" s="3">
        <v>137.75817896534554</v>
      </c>
    </row>
    <row r="41" spans="1:6" x14ac:dyDescent="0.35">
      <c r="A41" s="3">
        <v>17</v>
      </c>
      <c r="B41" s="3">
        <v>143.5338105895064</v>
      </c>
      <c r="C41" s="3">
        <v>129.63580170094292</v>
      </c>
      <c r="E41" s="3">
        <v>75</v>
      </c>
      <c r="F41" s="3">
        <v>182.32111514986732</v>
      </c>
    </row>
    <row r="42" spans="1:6" x14ac:dyDescent="0.35">
      <c r="A42" s="3">
        <v>18</v>
      </c>
      <c r="B42" s="3">
        <v>152.25847858716554</v>
      </c>
      <c r="C42" s="3">
        <v>-46.731208870410597</v>
      </c>
      <c r="E42" s="3">
        <v>79.545454545454547</v>
      </c>
      <c r="F42" s="3">
        <v>264.62763255202782</v>
      </c>
    </row>
    <row r="43" spans="1:6" x14ac:dyDescent="0.35">
      <c r="A43" s="3">
        <v>19</v>
      </c>
      <c r="B43" s="3">
        <v>172.61603724837028</v>
      </c>
      <c r="C43" s="3">
        <v>-128.31175736264089</v>
      </c>
      <c r="E43" s="3">
        <v>84.090909090909093</v>
      </c>
      <c r="F43" s="3">
        <v>269.96400797828238</v>
      </c>
    </row>
    <row r="44" spans="1:6" x14ac:dyDescent="0.35">
      <c r="A44" s="3">
        <v>20</v>
      </c>
      <c r="B44" s="3">
        <v>172.61603724837028</v>
      </c>
      <c r="C44" s="3">
        <v>-140.62404940957697</v>
      </c>
      <c r="E44" s="3">
        <v>88.63636363636364</v>
      </c>
      <c r="F44" s="3">
        <v>273.16961229044932</v>
      </c>
    </row>
    <row r="45" spans="1:6" x14ac:dyDescent="0.35">
      <c r="A45" s="3">
        <v>21</v>
      </c>
      <c r="B45" s="3">
        <v>187.15715057780227</v>
      </c>
      <c r="C45" s="3">
        <v>93.343069958322133</v>
      </c>
      <c r="E45" s="3">
        <v>93.181818181818187</v>
      </c>
      <c r="F45" s="3">
        <v>280.5002205361244</v>
      </c>
    </row>
    <row r="46" spans="1:6" ht="15" thickBot="1" x14ac:dyDescent="0.4">
      <c r="A46" s="4">
        <v>22</v>
      </c>
      <c r="B46" s="4">
        <v>197.33592990840464</v>
      </c>
      <c r="C46" s="4">
        <v>211.21072844532222</v>
      </c>
      <c r="E46" s="4">
        <v>97.727272727272734</v>
      </c>
      <c r="F46" s="4">
        <v>408.54665835372685</v>
      </c>
    </row>
  </sheetData>
  <sortState ref="F25:F46">
    <sortCondition ref="F2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C2DE-96FD-4DA7-962F-A699745DD571}">
  <dimension ref="A1:K23"/>
  <sheetViews>
    <sheetView tabSelected="1" workbookViewId="0">
      <selection sqref="A1:A1048576"/>
    </sheetView>
  </sheetViews>
  <sheetFormatPr defaultRowHeight="14.5" x14ac:dyDescent="0.35"/>
  <cols>
    <col min="1" max="2" width="3.81640625" style="1" bestFit="1" customWidth="1"/>
    <col min="3" max="3" width="6.6328125" style="1" bestFit="1" customWidth="1"/>
    <col min="4" max="4" width="6.453125" style="1" bestFit="1" customWidth="1"/>
    <col min="5" max="5" width="10.08984375" style="1" bestFit="1" customWidth="1"/>
    <col min="6" max="6" width="14.81640625" style="1" bestFit="1" customWidth="1"/>
    <col min="7" max="7" width="33" style="1" bestFit="1" customWidth="1"/>
    <col min="8" max="8" width="5" style="2" bestFit="1" customWidth="1"/>
    <col min="9" max="9" width="13.81640625" style="1" bestFit="1" customWidth="1"/>
    <col min="10" max="16384" width="8.7265625" style="1"/>
  </cols>
  <sheetData>
    <row r="1" spans="1:11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I1" s="1" t="s">
        <v>11</v>
      </c>
      <c r="K1" s="2"/>
    </row>
    <row r="2" spans="1:11" x14ac:dyDescent="0.35">
      <c r="A2" s="1">
        <v>101</v>
      </c>
      <c r="B2" s="1">
        <v>102</v>
      </c>
      <c r="C2" s="2">
        <f>$H$2+$H$3*B2</f>
        <v>117.43058148631029</v>
      </c>
      <c r="D2" s="2">
        <f>A2-C2</f>
        <v>-16.430581486310288</v>
      </c>
      <c r="E2" s="2">
        <f>ABS(D2)</f>
        <v>16.430581486310288</v>
      </c>
      <c r="F2" s="2">
        <f>E2/A2*100</f>
        <v>16.267902461693353</v>
      </c>
      <c r="G2" s="1" t="s">
        <v>2</v>
      </c>
      <c r="H2" s="2">
        <f>INTERCEPT(A2:A23,B2:B23)</f>
        <v>-5.9077653194263462</v>
      </c>
      <c r="I2" s="2">
        <f>D2^2</f>
        <v>269.96400797828238</v>
      </c>
    </row>
    <row r="3" spans="1:11" x14ac:dyDescent="0.35">
      <c r="A3" s="1">
        <v>106</v>
      </c>
      <c r="B3" s="1">
        <v>106</v>
      </c>
      <c r="C3" s="2">
        <f t="shared" ref="C3:C23" si="0">$H$2+$H$3*B3</f>
        <v>122.26737940026075</v>
      </c>
      <c r="D3" s="2">
        <f t="shared" ref="D3:D23" si="1">A3-C3</f>
        <v>-16.267379400260751</v>
      </c>
      <c r="E3" s="2">
        <f t="shared" ref="E3:E23" si="2">ABS(D3)</f>
        <v>16.267379400260751</v>
      </c>
      <c r="F3" s="2">
        <f t="shared" ref="F3:F23" si="3">E3/A3*100</f>
        <v>15.346584339868633</v>
      </c>
      <c r="G3" s="1" t="s">
        <v>3</v>
      </c>
      <c r="H3" s="2">
        <f>SLOPE(A2:A23,B2:B23)</f>
        <v>1.2091994784876141</v>
      </c>
      <c r="I3" s="2">
        <f t="shared" ref="I3:I23" si="4">D3^2</f>
        <v>264.62763255202782</v>
      </c>
    </row>
    <row r="4" spans="1:11" x14ac:dyDescent="0.35">
      <c r="A4" s="1">
        <v>113</v>
      </c>
      <c r="B4" s="1">
        <v>107</v>
      </c>
      <c r="C4" s="2">
        <f t="shared" si="0"/>
        <v>123.47657887874837</v>
      </c>
      <c r="D4" s="2">
        <f t="shared" si="1"/>
        <v>-10.47657887874837</v>
      </c>
      <c r="E4" s="2">
        <f t="shared" si="2"/>
        <v>10.47657887874837</v>
      </c>
      <c r="F4" s="2">
        <f t="shared" si="3"/>
        <v>9.2713087422551954</v>
      </c>
      <c r="I4" s="2">
        <f t="shared" si="4"/>
        <v>109.75870500263646</v>
      </c>
    </row>
    <row r="5" spans="1:11" x14ac:dyDescent="0.35">
      <c r="A5" s="1">
        <v>118</v>
      </c>
      <c r="B5" s="1">
        <v>109</v>
      </c>
      <c r="C5" s="2">
        <f t="shared" si="0"/>
        <v>125.89497783572358</v>
      </c>
      <c r="D5" s="2">
        <f t="shared" si="1"/>
        <v>-7.89497783572358</v>
      </c>
      <c r="E5" s="2">
        <f t="shared" si="2"/>
        <v>7.89497783572358</v>
      </c>
      <c r="F5" s="2">
        <f t="shared" si="3"/>
        <v>6.6906591828165922</v>
      </c>
      <c r="G5" s="1" t="s">
        <v>6</v>
      </c>
      <c r="H5" s="2">
        <f>AVERAGE(F2:F23)</f>
        <v>6.4841274082021467</v>
      </c>
      <c r="I5" s="2">
        <f t="shared" si="4"/>
        <v>62.330675026566581</v>
      </c>
    </row>
    <row r="6" spans="1:11" x14ac:dyDescent="0.35">
      <c r="A6" s="1">
        <v>126</v>
      </c>
      <c r="B6" s="1">
        <v>110</v>
      </c>
      <c r="C6" s="2">
        <f t="shared" si="0"/>
        <v>127.1041773142112</v>
      </c>
      <c r="D6" s="2">
        <f t="shared" si="1"/>
        <v>-1.1041773142111992</v>
      </c>
      <c r="E6" s="2">
        <f t="shared" si="2"/>
        <v>1.1041773142111992</v>
      </c>
      <c r="F6" s="2">
        <f t="shared" si="3"/>
        <v>0.87633120175492007</v>
      </c>
      <c r="G6" s="1" t="s">
        <v>7</v>
      </c>
      <c r="I6" s="2">
        <f t="shared" si="4"/>
        <v>1.2192075412186574</v>
      </c>
    </row>
    <row r="7" spans="1:11" x14ac:dyDescent="0.35">
      <c r="A7" s="1">
        <v>129</v>
      </c>
      <c r="B7" s="1">
        <v>115</v>
      </c>
      <c r="C7" s="2">
        <f t="shared" si="0"/>
        <v>133.15017470664927</v>
      </c>
      <c r="D7" s="2">
        <f t="shared" si="1"/>
        <v>-4.1501747066492669</v>
      </c>
      <c r="E7" s="2">
        <f t="shared" si="2"/>
        <v>4.1501747066492669</v>
      </c>
      <c r="F7" s="2">
        <f t="shared" si="3"/>
        <v>3.217189695076951</v>
      </c>
      <c r="G7" s="1" t="s">
        <v>10</v>
      </c>
      <c r="H7" s="2">
        <f>AVERAGE(D2:D23)</f>
        <v>7.1054273576010019E-15</v>
      </c>
      <c r="I7" s="2">
        <f t="shared" si="4"/>
        <v>17.223950095711327</v>
      </c>
    </row>
    <row r="8" spans="1:11" x14ac:dyDescent="0.35">
      <c r="A8" s="1">
        <v>133</v>
      </c>
      <c r="B8" s="1">
        <v>118</v>
      </c>
      <c r="C8" s="2">
        <f t="shared" si="0"/>
        <v>136.77777314211212</v>
      </c>
      <c r="D8" s="2">
        <f t="shared" si="1"/>
        <v>-3.7777731421121246</v>
      </c>
      <c r="E8" s="2">
        <f t="shared" si="2"/>
        <v>3.7777731421121246</v>
      </c>
      <c r="F8" s="2">
        <f t="shared" si="3"/>
        <v>2.8404309339188907</v>
      </c>
      <c r="I8" s="2">
        <f t="shared" si="4"/>
        <v>14.271569913263715</v>
      </c>
    </row>
    <row r="9" spans="1:11" x14ac:dyDescent="0.35">
      <c r="A9" s="1">
        <v>149</v>
      </c>
      <c r="B9" s="1">
        <v>124</v>
      </c>
      <c r="C9" s="2">
        <f t="shared" si="0"/>
        <v>144.03297001303781</v>
      </c>
      <c r="D9" s="2">
        <f t="shared" si="1"/>
        <v>4.9670299869621886</v>
      </c>
      <c r="E9" s="2">
        <f t="shared" si="2"/>
        <v>4.9670299869621886</v>
      </c>
      <c r="F9" s="2">
        <f t="shared" si="3"/>
        <v>3.3335771724578445</v>
      </c>
      <c r="I9" s="2">
        <f t="shared" si="4"/>
        <v>24.671386891381598</v>
      </c>
    </row>
    <row r="10" spans="1:11" x14ac:dyDescent="0.35">
      <c r="A10" s="1">
        <v>157</v>
      </c>
      <c r="B10" s="1">
        <v>127</v>
      </c>
      <c r="C10" s="2">
        <f t="shared" si="0"/>
        <v>147.66056844850064</v>
      </c>
      <c r="D10" s="2">
        <f t="shared" si="1"/>
        <v>9.3394315514993593</v>
      </c>
      <c r="E10" s="2">
        <f t="shared" si="2"/>
        <v>9.3394315514993593</v>
      </c>
      <c r="F10" s="2">
        <f t="shared" si="3"/>
        <v>5.9486825168785726</v>
      </c>
      <c r="I10" s="2">
        <f t="shared" si="4"/>
        <v>87.22498170514173</v>
      </c>
    </row>
    <row r="11" spans="1:11" x14ac:dyDescent="0.35">
      <c r="A11" s="1">
        <v>159</v>
      </c>
      <c r="B11" s="1">
        <v>130</v>
      </c>
      <c r="C11" s="2">
        <f t="shared" si="0"/>
        <v>151.2881668839635</v>
      </c>
      <c r="D11" s="2">
        <f t="shared" si="1"/>
        <v>7.7118331160365017</v>
      </c>
      <c r="E11" s="2">
        <f t="shared" si="2"/>
        <v>7.7118331160365017</v>
      </c>
      <c r="F11" s="2">
        <f t="shared" si="3"/>
        <v>4.8502095069411961</v>
      </c>
      <c r="I11" s="2">
        <f t="shared" si="4"/>
        <v>59.472370009597256</v>
      </c>
    </row>
    <row r="12" spans="1:11" x14ac:dyDescent="0.35">
      <c r="A12" s="1">
        <v>166</v>
      </c>
      <c r="B12" s="1">
        <v>131</v>
      </c>
      <c r="C12" s="2">
        <f t="shared" si="0"/>
        <v>152.49736636245109</v>
      </c>
      <c r="D12" s="2">
        <f t="shared" si="1"/>
        <v>13.502633637548911</v>
      </c>
      <c r="E12" s="2">
        <f t="shared" si="2"/>
        <v>13.502633637548911</v>
      </c>
      <c r="F12" s="2">
        <f t="shared" si="3"/>
        <v>8.1341166491258505</v>
      </c>
      <c r="I12" s="2">
        <f t="shared" si="4"/>
        <v>182.32111514986732</v>
      </c>
    </row>
    <row r="13" spans="1:11" x14ac:dyDescent="0.35">
      <c r="A13" s="1">
        <v>166</v>
      </c>
      <c r="B13" s="1">
        <v>135</v>
      </c>
      <c r="C13" s="2">
        <f t="shared" si="0"/>
        <v>157.33416427640157</v>
      </c>
      <c r="D13" s="2">
        <f t="shared" si="1"/>
        <v>8.665835723598434</v>
      </c>
      <c r="E13" s="2">
        <f t="shared" si="2"/>
        <v>8.665835723598434</v>
      </c>
      <c r="F13" s="2">
        <f t="shared" si="3"/>
        <v>5.2203829660231529</v>
      </c>
      <c r="I13" s="2">
        <f t="shared" si="4"/>
        <v>75.096708788394793</v>
      </c>
    </row>
    <row r="14" spans="1:11" x14ac:dyDescent="0.35">
      <c r="A14" s="1">
        <v>168</v>
      </c>
      <c r="B14" s="1">
        <v>135</v>
      </c>
      <c r="C14" s="2">
        <f t="shared" si="0"/>
        <v>157.33416427640157</v>
      </c>
      <c r="D14" s="2">
        <f t="shared" si="1"/>
        <v>10.665835723598434</v>
      </c>
      <c r="E14" s="2">
        <f t="shared" si="2"/>
        <v>10.665835723598434</v>
      </c>
      <c r="F14" s="2">
        <f t="shared" si="3"/>
        <v>6.3487117402371629</v>
      </c>
      <c r="I14" s="2">
        <f t="shared" si="4"/>
        <v>113.76005168278853</v>
      </c>
    </row>
    <row r="15" spans="1:11" x14ac:dyDescent="0.35">
      <c r="A15" s="1">
        <v>169</v>
      </c>
      <c r="B15" s="1">
        <v>141</v>
      </c>
      <c r="C15" s="2">
        <f t="shared" si="0"/>
        <v>164.58936114732725</v>
      </c>
      <c r="D15" s="2">
        <f t="shared" si="1"/>
        <v>4.4106388526727471</v>
      </c>
      <c r="E15" s="2">
        <f t="shared" si="2"/>
        <v>4.4106388526727471</v>
      </c>
      <c r="F15" s="2">
        <f t="shared" si="3"/>
        <v>2.6098454749542883</v>
      </c>
      <c r="I15" s="2">
        <f t="shared" si="4"/>
        <v>19.453735088706367</v>
      </c>
    </row>
    <row r="16" spans="1:11" x14ac:dyDescent="0.35">
      <c r="A16" s="1">
        <v>181</v>
      </c>
      <c r="B16" s="1">
        <v>145</v>
      </c>
      <c r="C16" s="2">
        <f t="shared" si="0"/>
        <v>169.4261590612777</v>
      </c>
      <c r="D16" s="2">
        <f t="shared" si="1"/>
        <v>11.573840938722299</v>
      </c>
      <c r="E16" s="2">
        <f t="shared" si="2"/>
        <v>11.573840938722299</v>
      </c>
      <c r="F16" s="2">
        <f t="shared" si="3"/>
        <v>6.3943872589625954</v>
      </c>
      <c r="I16" s="2">
        <f t="shared" si="4"/>
        <v>133.95379407484427</v>
      </c>
    </row>
    <row r="17" spans="1:9" x14ac:dyDescent="0.35">
      <c r="A17" s="1">
        <v>186</v>
      </c>
      <c r="B17" s="1">
        <v>149</v>
      </c>
      <c r="C17" s="2">
        <f t="shared" si="0"/>
        <v>174.26295697522815</v>
      </c>
      <c r="D17" s="2">
        <f t="shared" si="1"/>
        <v>11.73704302477185</v>
      </c>
      <c r="E17" s="2">
        <f t="shared" si="2"/>
        <v>11.73704302477185</v>
      </c>
      <c r="F17" s="2">
        <f t="shared" si="3"/>
        <v>6.31023818536121</v>
      </c>
      <c r="I17" s="2">
        <f t="shared" si="4"/>
        <v>137.75817896534554</v>
      </c>
    </row>
    <row r="18" spans="1:9" x14ac:dyDescent="0.35">
      <c r="A18" s="1">
        <v>192</v>
      </c>
      <c r="B18" s="1">
        <v>150</v>
      </c>
      <c r="C18" s="2">
        <f t="shared" si="0"/>
        <v>175.47215645371577</v>
      </c>
      <c r="D18" s="2">
        <f t="shared" si="1"/>
        <v>16.527843546284231</v>
      </c>
      <c r="E18" s="2">
        <f t="shared" si="2"/>
        <v>16.527843546284231</v>
      </c>
      <c r="F18" s="2">
        <f t="shared" si="3"/>
        <v>8.6082518470230358</v>
      </c>
      <c r="I18" s="2">
        <f t="shared" si="4"/>
        <v>273.16961229044932</v>
      </c>
    </row>
    <row r="19" spans="1:9" x14ac:dyDescent="0.35">
      <c r="A19" s="1">
        <v>193</v>
      </c>
      <c r="B19" s="1">
        <v>156</v>
      </c>
      <c r="C19" s="2">
        <f t="shared" si="0"/>
        <v>182.72735332464146</v>
      </c>
      <c r="D19" s="2">
        <f t="shared" si="1"/>
        <v>10.272646675358544</v>
      </c>
      <c r="E19" s="2">
        <f t="shared" si="2"/>
        <v>10.272646675358544</v>
      </c>
      <c r="F19" s="2">
        <f t="shared" si="3"/>
        <v>5.3226148576987278</v>
      </c>
      <c r="I19" s="2">
        <f t="shared" si="4"/>
        <v>105.52726971675494</v>
      </c>
    </row>
    <row r="20" spans="1:9" x14ac:dyDescent="0.35">
      <c r="A20" s="1">
        <v>193</v>
      </c>
      <c r="B20" s="1">
        <v>170</v>
      </c>
      <c r="C20" s="2">
        <f t="shared" si="0"/>
        <v>199.65614602346804</v>
      </c>
      <c r="D20" s="2">
        <f t="shared" si="1"/>
        <v>-6.6561460234680396</v>
      </c>
      <c r="E20" s="2">
        <f t="shared" si="2"/>
        <v>6.6561460234680396</v>
      </c>
      <c r="F20" s="2">
        <f t="shared" si="3"/>
        <v>3.4487803230404355</v>
      </c>
      <c r="I20" s="2">
        <f t="shared" si="4"/>
        <v>44.3042798857294</v>
      </c>
    </row>
    <row r="21" spans="1:9" x14ac:dyDescent="0.35">
      <c r="A21" s="1">
        <v>194</v>
      </c>
      <c r="B21" s="1">
        <v>170</v>
      </c>
      <c r="C21" s="2">
        <f t="shared" si="0"/>
        <v>199.65614602346804</v>
      </c>
      <c r="D21" s="2">
        <f t="shared" si="1"/>
        <v>-5.6561460234680396</v>
      </c>
      <c r="E21" s="2">
        <f t="shared" si="2"/>
        <v>5.6561460234680396</v>
      </c>
      <c r="F21" s="2">
        <f t="shared" si="3"/>
        <v>2.9155391873546597</v>
      </c>
      <c r="I21" s="2">
        <f t="shared" si="4"/>
        <v>31.991987838793317</v>
      </c>
    </row>
    <row r="22" spans="1:9" x14ac:dyDescent="0.35">
      <c r="A22" s="1">
        <v>195</v>
      </c>
      <c r="B22" s="1">
        <v>180</v>
      </c>
      <c r="C22" s="2">
        <f t="shared" si="0"/>
        <v>211.7481408083442</v>
      </c>
      <c r="D22" s="2">
        <f t="shared" si="1"/>
        <v>-16.748140808344203</v>
      </c>
      <c r="E22" s="2">
        <f t="shared" si="2"/>
        <v>16.748140808344203</v>
      </c>
      <c r="F22" s="2">
        <f t="shared" si="3"/>
        <v>8.5887901581252333</v>
      </c>
      <c r="I22" s="2">
        <f t="shared" si="4"/>
        <v>280.5002205361244</v>
      </c>
    </row>
    <row r="23" spans="1:9" x14ac:dyDescent="0.35">
      <c r="A23" s="1">
        <v>200</v>
      </c>
      <c r="B23" s="1">
        <v>187</v>
      </c>
      <c r="C23" s="2">
        <f t="shared" si="0"/>
        <v>220.21253715775748</v>
      </c>
      <c r="D23" s="2">
        <f t="shared" si="1"/>
        <v>-20.212537157757481</v>
      </c>
      <c r="E23" s="2">
        <f t="shared" si="2"/>
        <v>20.212537157757481</v>
      </c>
      <c r="F23" s="2">
        <f t="shared" si="3"/>
        <v>10.106268578878741</v>
      </c>
      <c r="I23" s="2">
        <f t="shared" si="4"/>
        <v>408.54665835372685</v>
      </c>
    </row>
  </sheetData>
  <sortState ref="B2:B24">
    <sortCondition ref="B2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Sheet3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2025-10-17T10:07:09Z</dcterms:created>
  <dcterms:modified xsi:type="dcterms:W3CDTF">2025-10-30T07:01:05Z</dcterms:modified>
</cp:coreProperties>
</file>